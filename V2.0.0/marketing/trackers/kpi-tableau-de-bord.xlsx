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Taux" sheetId="2" state="visible" r:id="rId4"/>
    <sheet name="Budget" sheetId="3" state="visible" r:id="rId5"/>
    <sheet name="Hebdo" sheetId="4" state="visible" r:id="rId6"/>
    <sheet name="Prospects" sheetId="5" state="visible" r:id="rId7"/>
    <sheet name="Partenair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Saisir la date du lundi de la semaine 1 (AAAA-MM-JJ).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Taux officiel BCC du 26/10/2026 (consulté le 27/10/2026). Mettre à jour avant toute dépense.</t>
        </r>
      </text>
    </comment>
  </commentList>
</comments>
</file>

<file path=xl/sharedStrings.xml><?xml version="1.0" encoding="utf-8"?>
<sst xmlns="http://schemas.openxmlformats.org/spreadsheetml/2006/main" count="150" uniqueCount="143">
  <si>
    <t xml:space="preserve">Nhill — tableau de bord commercial (90 jours) / sales dashboard</t>
  </si>
  <si>
    <t xml:space="preserve">Date de début (lundi S1) / Start date (Monday W1)</t>
  </si>
  <si>
    <t xml:space="preserve">Indicateur / Indicator</t>
  </si>
  <si>
    <t xml:space="preserve">Réalisé / Actual</t>
  </si>
  <si>
    <t xml:space="preserve">Objectif / Target</t>
  </si>
  <si>
    <t xml:space="preserve">Atteinte / Progress</t>
  </si>
  <si>
    <t xml:space="preserve">Définition</t>
  </si>
  <si>
    <t xml:space="preserve">Prospects identifiés</t>
  </si>
  <si>
    <t xml:space="preserve">lignes ajoutées au suivi</t>
  </si>
  <si>
    <t xml:space="preserve">Contacts réalisés</t>
  </si>
  <si>
    <t xml:space="preserve">statut ≥ contacté</t>
  </si>
  <si>
    <t xml:space="preserve">Démos faites</t>
  </si>
  <si>
    <t xml:space="preserve">statut ≥ démo faite</t>
  </si>
  <si>
    <t xml:space="preserve">Taux contact → démo</t>
  </si>
  <si>
    <t xml:space="preserve">démos / contacts</t>
  </si>
  <si>
    <t xml:space="preserve">Pilotes signés</t>
  </si>
  <si>
    <t xml:space="preserve">conventions signées</t>
  </si>
  <si>
    <t xml:space="preserve">Taux démo → pilote</t>
  </si>
  <si>
    <t xml:space="preserve">pilotes signés / démos</t>
  </si>
  <si>
    <t xml:space="preserve">Pilotes actifs (dernière semaine saisie)</t>
  </si>
  <si>
    <t xml:space="preserve">≥ 4 jours d'usage la semaine passée</t>
  </si>
  <si>
    <t xml:space="preserve">Clients</t>
  </si>
  <si>
    <t xml:space="preserve">premier paiement confirmé</t>
  </si>
  <si>
    <t xml:space="preserve">Taux pilote → client</t>
  </si>
  <si>
    <t xml:space="preserve">clients / pilotes terminés</t>
  </si>
  <si>
    <t xml:space="preserve">Partenaires signés</t>
  </si>
  <si>
    <t xml:space="preserve">contrats signés</t>
  </si>
  <si>
    <t xml:space="preserve">Note de recommandation moyenne</t>
  </si>
  <si>
    <t xml:space="preserve">moyenne 0-10</t>
  </si>
  <si>
    <t xml:space="preserve">Incidents bloquants &gt; 48 h (cumul)</t>
  </si>
  <si>
    <t xml:space="preserve">doit rester à 0</t>
  </si>
  <si>
    <t xml:space="preserve">Dépensé (USD)</t>
  </si>
  <si>
    <t xml:space="preserve">vs enveloppe du scénario (feuille Budget)</t>
  </si>
  <si>
    <t xml:space="preserve">Coût par démo (USD)</t>
  </si>
  <si>
    <t xml:space="preserve">dépenses / démos</t>
  </si>
  <si>
    <t xml:space="preserve">Objectifs : plan de 90 jours (marketing/fr/03-plan-90-jours.md). Ne jamais additionner USD et CDF.</t>
  </si>
  <si>
    <t xml:space="preserve">Mode d'emploi : saisir la date de début ci-dessus, puis chaque lundi la ligne de la semaine dans « Hebdo » ; les dépenses dans « Budget ».</t>
  </si>
  <si>
    <t xml:space="preserve">Taux de change de référence / Reference exchange rate</t>
  </si>
  <si>
    <t xml:space="preserve">CDF pour 1 USD / CDF per 1 USD</t>
  </si>
  <si>
    <t xml:space="preserve">Date du taux / Rate date</t>
  </si>
  <si>
    <t xml:space="preserve">2026-10-26</t>
  </si>
  <si>
    <t xml:space="preserve">Source</t>
  </si>
  <si>
    <t xml:space="preserve">Banque centrale du Congo, cours officiel — https://www.bcc.cd/marche-des-changes/cours-de-change</t>
  </si>
  <si>
    <t xml:space="preserve">Cellules jaunes à texte bleu = à saisir. Les autres cellules sont calculées. / Yellow cells with blue text = inputs; others are formulas.</t>
  </si>
  <si>
    <t xml:space="preserve">Budget 90 jours — enveloppes proposées (à confirmer par devis) / 90-day budget — proposed envelopes</t>
  </si>
  <si>
    <t xml:space="preserve">Choix du scénario / Scenario (A ou/or B) :</t>
  </si>
  <si>
    <t xml:space="preserve">A</t>
  </si>
  <si>
    <t xml:space="preserve">Poste / Item</t>
  </si>
  <si>
    <t xml:space="preserve">Enveloppe A (USD)</t>
  </si>
  <si>
    <t xml:space="preserve">Enveloppe B (USD)</t>
  </si>
  <si>
    <t xml:space="preserve">Enveloppe retenue (USD)</t>
  </si>
  <si>
    <t xml:space="preserve">Enveloppe retenue (CDF)</t>
  </si>
  <si>
    <t xml:space="preserve">Dépensé (CDF)</t>
  </si>
  <si>
    <t xml:space="preserve">Écart (USD)</t>
  </si>
  <si>
    <t xml:space="preserve">Justificatif / Receipt</t>
  </si>
  <si>
    <t xml:space="preserve">Forfaits de données mobiles / Mobile data</t>
  </si>
  <si>
    <t xml:space="preserve">Impression fiches et affiches / Sheets and posters</t>
  </si>
  <si>
    <t xml:space="preserve">Impression complémentaire / Extra printing</t>
  </si>
  <si>
    <t xml:space="preserve">Transport</t>
  </si>
  <si>
    <t xml:space="preserve">Domaine et hébergement du site / Domain and hosting</t>
  </si>
  <si>
    <t xml:space="preserve">Séance de démonstration groupée / Group demo</t>
  </si>
  <si>
    <t xml:space="preserve">Publicité réseaux sociaux / Social-media ads</t>
  </si>
  <si>
    <t xml:space="preserve">Événement d'entrepreneurs / Entrepreneurs' event</t>
  </si>
  <si>
    <t xml:space="preserve">Formation des partenaires / Partner training</t>
  </si>
  <si>
    <t xml:space="preserve">Micro et support vidéo / Mic and video stand</t>
  </si>
  <si>
    <t xml:space="preserve">Tablette Android de démonstration / Android demo tablet</t>
  </si>
  <si>
    <t xml:space="preserve">Total</t>
  </si>
  <si>
    <t xml:space="preserve">Taux utilisé : feuille « Taux » (BCC). Enveloppes = propositions du plan de 90 jours, pas des prix relevés.</t>
  </si>
  <si>
    <t xml:space="preserve">Semaine / Week</t>
  </si>
  <si>
    <t xml:space="preserve">Lundi / Monday</t>
  </si>
  <si>
    <t xml:space="preserve">Prospects ajoutés / added</t>
  </si>
  <si>
    <t xml:space="preserve">Contacts</t>
  </si>
  <si>
    <t xml:space="preserve">Démos faites / done</t>
  </si>
  <si>
    <t xml:space="preserve">Pilotes signés / signed</t>
  </si>
  <si>
    <t xml:space="preserve">Pilotes actifs / active</t>
  </si>
  <si>
    <t xml:space="preserve">Pilotes terminés / completed</t>
  </si>
  <si>
    <t xml:space="preserve">Partenaires signés / signed</t>
  </si>
  <si>
    <t xml:space="preserve">Note recommandation moy. / avg score</t>
  </si>
  <si>
    <t xml:space="preserve">Incidents bloquants &gt; 48 h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</si>
  <si>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</si>
  <si>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</si>
  <si>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</si>
  <si>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</si>
  <si>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</si>
  <si>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</si>
  <si>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</si>
  <si>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</si>
  <si>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</si>
  <si>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</si>
  <si>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</si>
  <si>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</si>
  <si>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</si>
  <si>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Saisir les nombres de la semaine (pas les cumuls) ; « Pilotes actifs », « Note » et « Incidents » = valeur de la semaine.</t>
  </si>
  <si>
    <t xml:space="preserve">id</t>
  </si>
  <si>
    <t xml:space="preserve">date_entree / entry_date</t>
  </si>
  <si>
    <t xml:space="preserve">etablissement / business</t>
  </si>
  <si>
    <t xml:space="preserve">secteur / sector</t>
  </si>
  <si>
    <t xml:space="preserve">commune</t>
  </si>
  <si>
    <t xml:space="preserve">contact_nom / contact_name</t>
  </si>
  <si>
    <t xml:space="preserve">contact_role</t>
  </si>
  <si>
    <t xml:space="preserve">telephone / phone</t>
  </si>
  <si>
    <t xml:space="preserve">email</t>
  </si>
  <si>
    <t xml:space="preserve">consentement_canal / consent_channel</t>
  </si>
  <si>
    <t xml:space="preserve">consentement_date / consent_date</t>
  </si>
  <si>
    <t xml:space="preserve">source</t>
  </si>
  <si>
    <t xml:space="preserve">score</t>
  </si>
  <si>
    <t xml:space="preserve">statut / status</t>
  </si>
  <si>
    <t xml:space="preserve">derniere_action / last_action</t>
  </si>
  <si>
    <t xml:space="preserve">prochaine_action / next_action</t>
  </si>
  <si>
    <t xml:space="preserve">date_prochaine_action / next_action_date</t>
  </si>
  <si>
    <t xml:space="preserve">motif_perte / loss_reason</t>
  </si>
  <si>
    <t xml:space="preserve">notes</t>
  </si>
  <si>
    <t xml:space="preserve">P-0001</t>
  </si>
  <si>
    <t xml:space="preserve">2026-11-03</t>
  </si>
  <si>
    <t xml:space="preserve">EXEMPLE — Boutique fictive (démo)</t>
  </si>
  <si>
    <t xml:space="preserve">détail</t>
  </si>
  <si>
    <t xml:space="preserve">Limete</t>
  </si>
  <si>
    <t xml:space="preserve">Exemple Nom</t>
  </si>
  <si>
    <t xml:space="preserve">propriétaire</t>
  </si>
  <si>
    <t xml:space="preserve">WhatsApp</t>
  </si>
  <si>
    <t xml:space="preserve">terrain</t>
  </si>
  <si>
    <t xml:space="preserve">démo fixée</t>
  </si>
  <si>
    <t xml:space="preserve">visite</t>
  </si>
  <si>
    <t xml:space="preserve">démonstration</t>
  </si>
  <si>
    <t xml:space="preserve">2026-11-06</t>
  </si>
  <si>
    <t xml:space="preserve">ligne d'exemple à supprimer</t>
  </si>
  <si>
    <t xml:space="preserve">nom / name</t>
  </si>
  <si>
    <t xml:space="preserve">type</t>
  </si>
  <si>
    <t xml:space="preserve">date_contrat / contract_date</t>
  </si>
  <si>
    <t xml:space="preserve">prospects_enregistres / prospects_recorded</t>
  </si>
  <si>
    <t xml:space="preserve">demos</t>
  </si>
  <si>
    <t xml:space="preserve">pilotes / pilots</t>
  </si>
  <si>
    <t xml:space="preserve">clients / customers</t>
  </si>
  <si>
    <t xml:space="preserve">encaisse_usd / collected_usd</t>
  </si>
  <si>
    <t xml:space="preserve">commission_due_usd</t>
  </si>
  <si>
    <t xml:space="preserve">commission_payee_usd / commission_paid_usd</t>
  </si>
  <si>
    <t xml:space="preserve">derniere_rencontre / last_meeting</t>
  </si>
  <si>
    <t xml:space="preserve">PA-01</t>
  </si>
  <si>
    <t xml:space="preserve">EXEMPLE — Partenaire fictif</t>
  </si>
  <si>
    <t xml:space="preserve">intégrateur</t>
  </si>
  <si>
    <t xml:space="preserve">Gombe</t>
  </si>
  <si>
    <t xml:space="preserve">2026-11-10</t>
  </si>
  <si>
    <t xml:space="preserve">2026-11-24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</si>
</sst>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0"/>
    <numFmt numFmtId="167" formatCode="0%"/>
    <numFmt numFmtId="168" formatCode="0.0%"/>
    <numFmt numFmtId="169" formatCode="0.0"/>
    <numFmt numFmtId="170" formatCode="#,##0.00;\(#,##0.00\);\-"/>
    <numFmt numFmtId="171" formatCode="#,##0.0000"/>
    <numFmt numFmtId="172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3F5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i val="true"/>
      <sz val="11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73F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2B3"/>
      </left>
      <right style="thin">
        <color rgb="FFC9C2B3"/>
      </right>
      <top style="thin">
        <color rgb="FFC9C2B3"/>
      </top>
      <bottom style="thin">
        <color rgb="FFC9C2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3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F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3" t="s">
        <v>1</v>
      </c>
      <c r="B3" s="4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26.85" hidden="false" customHeight="false" outlineLevel="0" collapsed="false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false" outlineLevel="0" collapsed="false">
      <c r="A6" s="6" t="s">
        <v>7</v>
      </c>
      <c r="B6" s="7" t="n">
        <f aca="false">SUM(Hebdo!C2:C14)</f>
        <v>0</v>
      </c>
      <c r="C6" s="8" t="n">
        <v>150</v>
      </c>
      <c r="D6" s="9" t="n">
        <f aca="false">IFERROR(B6/C6,0)</f>
        <v>0</v>
      </c>
      <c r="E6" s="6" t="s">
        <v>8</v>
      </c>
    </row>
    <row r="7" customFormat="false" ht="15" hidden="false" customHeight="false" outlineLevel="0" collapsed="false">
      <c r="A7" s="6" t="s">
        <v>9</v>
      </c>
      <c r="B7" s="7" t="n">
        <f aca="false">SUM(Hebdo!D2:D14)</f>
        <v>0</v>
      </c>
      <c r="C7" s="8" t="n">
        <v>90</v>
      </c>
      <c r="D7" s="9" t="n">
        <f aca="false">IFERROR(B7/C7,0)</f>
        <v>0</v>
      </c>
      <c r="E7" s="6" t="s">
        <v>10</v>
      </c>
    </row>
    <row r="8" customFormat="false" ht="15" hidden="false" customHeight="false" outlineLevel="0" collapsed="false">
      <c r="A8" s="6" t="s">
        <v>11</v>
      </c>
      <c r="B8" s="7" t="n">
        <f aca="false">SUM(Hebdo!E2:E14)</f>
        <v>0</v>
      </c>
      <c r="C8" s="8" t="n">
        <v>25</v>
      </c>
      <c r="D8" s="9" t="n">
        <f aca="false">IFERROR(B8/C8,0)</f>
        <v>0</v>
      </c>
      <c r="E8" s="6" t="s">
        <v>12</v>
      </c>
    </row>
    <row r="9" customFormat="false" ht="15" hidden="false" customHeight="false" outlineLevel="0" collapsed="false">
      <c r="A9" s="6" t="s">
        <v>13</v>
      </c>
      <c r="B9" s="10" t="n">
        <f aca="false">IFERROR(B8/B7,0)</f>
        <v>0</v>
      </c>
      <c r="C9" s="11" t="n">
        <v>0.25</v>
      </c>
      <c r="D9" s="9" t="n">
        <f aca="false">IFERROR(B9/C9,0)</f>
        <v>0</v>
      </c>
      <c r="E9" s="6" t="s">
        <v>14</v>
      </c>
    </row>
    <row r="10" customFormat="false" ht="15" hidden="false" customHeight="false" outlineLevel="0" collapsed="false">
      <c r="A10" s="6" t="s">
        <v>15</v>
      </c>
      <c r="B10" s="7" t="n">
        <f aca="false">SUM(Hebdo!F2:F14)</f>
        <v>0</v>
      </c>
      <c r="C10" s="8" t="n">
        <v>10</v>
      </c>
      <c r="D10" s="9" t="n">
        <f aca="false">IFERROR(B10/C10,0)</f>
        <v>0</v>
      </c>
      <c r="E10" s="6" t="s">
        <v>16</v>
      </c>
    </row>
    <row r="11" customFormat="false" ht="15" hidden="false" customHeight="false" outlineLevel="0" collapsed="false">
      <c r="A11" s="6" t="s">
        <v>17</v>
      </c>
      <c r="B11" s="10" t="n">
        <f aca="false">IFERROR(B10/B8,0)</f>
        <v>0</v>
      </c>
      <c r="C11" s="11" t="n">
        <v>0.4</v>
      </c>
      <c r="D11" s="9" t="n">
        <f aca="false">IFERROR(B11/C11,0)</f>
        <v>0</v>
      </c>
      <c r="E11" s="6" t="s">
        <v>18</v>
      </c>
    </row>
    <row r="12" customFormat="false" ht="15" hidden="false" customHeight="false" outlineLevel="0" collapsed="false">
      <c r="A12" s="6" t="s">
        <v>19</v>
      </c>
      <c r="B12" s="7" t="n">
        <f aca="false">IFERROR(LOOKUP(2,1/(Hebdo!G2:G14&lt;&gt;""),Hebdo!G2:G14),0)</f>
        <v>0</v>
      </c>
      <c r="C12" s="8" t="n">
        <v>10</v>
      </c>
      <c r="D12" s="9" t="n">
        <f aca="false">IFERROR(B12/C12,0)</f>
        <v>0</v>
      </c>
      <c r="E12" s="6" t="s">
        <v>20</v>
      </c>
    </row>
    <row r="13" customFormat="false" ht="15" hidden="false" customHeight="false" outlineLevel="0" collapsed="false">
      <c r="A13" s="6" t="s">
        <v>21</v>
      </c>
      <c r="B13" s="7" t="n">
        <f aca="false">SUM(Hebdo!I2:I14)</f>
        <v>0</v>
      </c>
      <c r="C13" s="8" t="n">
        <v>4</v>
      </c>
      <c r="D13" s="9" t="n">
        <f aca="false">IFERROR(B13/C13,0)</f>
        <v>0</v>
      </c>
      <c r="E13" s="6" t="s">
        <v>22</v>
      </c>
    </row>
    <row r="14" customFormat="false" ht="15" hidden="false" customHeight="false" outlineLevel="0" collapsed="false">
      <c r="A14" s="6" t="s">
        <v>23</v>
      </c>
      <c r="B14" s="10" t="n">
        <f aca="false">IFERROR(B13/SUM(Hebdo!H2:H14),0)</f>
        <v>0</v>
      </c>
      <c r="C14" s="11" t="n">
        <v>0.4</v>
      </c>
      <c r="D14" s="9" t="n">
        <f aca="false">IFERROR(B14/C14,0)</f>
        <v>0</v>
      </c>
      <c r="E14" s="6" t="s">
        <v>24</v>
      </c>
    </row>
    <row r="15" customFormat="false" ht="15" hidden="false" customHeight="false" outlineLevel="0" collapsed="false">
      <c r="A15" s="6" t="s">
        <v>25</v>
      </c>
      <c r="B15" s="7" t="n">
        <f aca="false">SUM(Hebdo!J2:J14)</f>
        <v>0</v>
      </c>
      <c r="C15" s="8" t="n">
        <v>3</v>
      </c>
      <c r="D15" s="9" t="n">
        <f aca="false">IFERROR(B15/C15,0)</f>
        <v>0</v>
      </c>
      <c r="E15" s="6" t="s">
        <v>26</v>
      </c>
    </row>
    <row r="16" customFormat="false" ht="15" hidden="false" customHeight="false" outlineLevel="0" collapsed="false">
      <c r="A16" s="6" t="s">
        <v>27</v>
      </c>
      <c r="B16" s="12" t="n">
        <f aca="false">IFERROR(AVERAGE(Hebdo!K2:K14),0)</f>
        <v>0</v>
      </c>
      <c r="C16" s="8" t="n">
        <v>7</v>
      </c>
      <c r="D16" s="9" t="n">
        <f aca="false">IFERROR(B16/C16,0)</f>
        <v>0</v>
      </c>
      <c r="E16" s="6" t="s">
        <v>28</v>
      </c>
    </row>
    <row r="17" customFormat="false" ht="15" hidden="false" customHeight="false" outlineLevel="0" collapsed="false">
      <c r="A17" s="6" t="s">
        <v>29</v>
      </c>
      <c r="B17" s="7" t="n">
        <f aca="false">SUM(Hebdo!L2:L14)</f>
        <v>0</v>
      </c>
      <c r="C17" s="8" t="n">
        <v>0</v>
      </c>
      <c r="D17" s="2"/>
      <c r="E17" s="6" t="s">
        <v>30</v>
      </c>
    </row>
    <row r="18" customFormat="false" ht="15" hidden="false" customHeight="false" outlineLevel="0" collapsed="false">
      <c r="A18" s="6" t="s">
        <v>31</v>
      </c>
      <c r="B18" s="13" t="n">
        <f aca="false">Budget!$F$16</f>
        <v>0</v>
      </c>
      <c r="C18" s="14" t="n">
        <f aca="false">Budget!$D$16</f>
        <v>295</v>
      </c>
      <c r="D18" s="9" t="n">
        <f aca="false">IFERROR(B18/C18,0)</f>
        <v>0</v>
      </c>
      <c r="E18" s="6" t="s">
        <v>32</v>
      </c>
    </row>
    <row r="19" customFormat="false" ht="15" hidden="false" customHeight="false" outlineLevel="0" collapsed="false">
      <c r="A19" s="6" t="s">
        <v>33</v>
      </c>
      <c r="B19" s="13" t="n">
        <f aca="false">IFERROR(B18/B8,0)</f>
        <v>0</v>
      </c>
      <c r="C19" s="15"/>
      <c r="D19" s="2"/>
      <c r="E19" s="6" t="s">
        <v>34</v>
      </c>
    </row>
    <row r="20" customFormat="false" ht="15" hidden="false" customHeight="false" outlineLevel="0" collapsed="false">
      <c r="A20" s="2"/>
      <c r="B20" s="2"/>
      <c r="C20" s="2"/>
      <c r="D20" s="2"/>
      <c r="E20" s="2"/>
    </row>
    <row r="21" customFormat="false" ht="15" hidden="false" customHeight="false" outlineLevel="0" collapsed="false">
      <c r="A21" s="16" t="s">
        <v>35</v>
      </c>
      <c r="B21" s="2"/>
      <c r="C21" s="2"/>
      <c r="D21" s="2"/>
      <c r="E21" s="2"/>
    </row>
    <row r="22" customFormat="false" ht="15" hidden="false" customHeight="false" outlineLevel="0" collapsed="false">
      <c r="A22" s="16" t="s">
        <v>36</v>
      </c>
      <c r="B22" s="2"/>
      <c r="C22" s="2"/>
      <c r="D22" s="2"/>
      <c r="E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17" t="s">
        <v>37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38</v>
      </c>
      <c r="B3" s="18" t="n">
        <v>2264</v>
      </c>
    </row>
    <row r="4" customFormat="false" ht="15" hidden="false" customHeight="false" outlineLevel="0" collapsed="false">
      <c r="A4" s="3" t="s">
        <v>39</v>
      </c>
      <c r="B4" s="19" t="s">
        <v>40</v>
      </c>
    </row>
    <row r="5" customFormat="false" ht="15" hidden="false" customHeight="false" outlineLevel="0" collapsed="false">
      <c r="A5" s="3" t="s">
        <v>41</v>
      </c>
      <c r="B5" s="19" t="s">
        <v>42</v>
      </c>
    </row>
    <row r="6" customFormat="false" ht="15" hidden="false" customHeight="false" outlineLevel="0" collapsed="false">
      <c r="A6" s="2"/>
      <c r="B6" s="2"/>
    </row>
    <row r="7" customFormat="false" ht="15" hidden="false" customHeight="false" outlineLevel="0" collapsed="false">
      <c r="A7" s="16" t="s">
        <v>43</v>
      </c>
      <c r="B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16.15" hidden="false" customHeight="false" outlineLevel="0" collapsed="false">
      <c r="A1" s="17" t="s">
        <v>44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45</v>
      </c>
      <c r="B2" s="2"/>
      <c r="C2" s="19" t="s">
        <v>46</v>
      </c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6.85" hidden="false" customHeight="false" outlineLevel="0" collapsed="false">
      <c r="A4" s="5" t="s">
        <v>47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31</v>
      </c>
      <c r="G4" s="5" t="s">
        <v>52</v>
      </c>
      <c r="H4" s="5" t="s">
        <v>53</v>
      </c>
      <c r="I4" s="5" t="s">
        <v>54</v>
      </c>
    </row>
    <row r="5" customFormat="false" ht="15" hidden="false" customHeight="false" outlineLevel="0" collapsed="false">
      <c r="A5" s="6" t="s">
        <v>55</v>
      </c>
      <c r="B5" s="20" t="n">
        <v>45</v>
      </c>
      <c r="C5" s="20" t="n">
        <v>60</v>
      </c>
      <c r="D5" s="21" t="n">
        <f aca="false">IF($C$2="B",C5,B5)</f>
        <v>45</v>
      </c>
      <c r="E5" s="21" t="n">
        <f aca="false">D5*Taux!$B$3</f>
        <v>101880</v>
      </c>
      <c r="F5" s="22" t="n">
        <v>0</v>
      </c>
      <c r="G5" s="21" t="n">
        <f aca="false">F5*Taux!$B$3</f>
        <v>0</v>
      </c>
      <c r="H5" s="15" t="n">
        <f aca="false">D5-F5</f>
        <v>45</v>
      </c>
      <c r="I5" s="2"/>
    </row>
    <row r="6" customFormat="false" ht="15" hidden="false" customHeight="false" outlineLevel="0" collapsed="false">
      <c r="A6" s="6" t="s">
        <v>56</v>
      </c>
      <c r="B6" s="20" t="n">
        <v>60</v>
      </c>
      <c r="C6" s="20" t="n">
        <v>60</v>
      </c>
      <c r="D6" s="21" t="n">
        <f aca="false">IF($C$2="B",C6,B6)</f>
        <v>60</v>
      </c>
      <c r="E6" s="21" t="n">
        <f aca="false">D6*Taux!$B$3</f>
        <v>135840</v>
      </c>
      <c r="F6" s="22" t="n">
        <v>0</v>
      </c>
      <c r="G6" s="21" t="n">
        <f aca="false">F6*Taux!$B$3</f>
        <v>0</v>
      </c>
      <c r="H6" s="15" t="n">
        <f aca="false">D6-F6</f>
        <v>60</v>
      </c>
      <c r="I6" s="2"/>
    </row>
    <row r="7" customFormat="false" ht="15" hidden="false" customHeight="false" outlineLevel="0" collapsed="false">
      <c r="A7" s="6" t="s">
        <v>57</v>
      </c>
      <c r="B7" s="20" t="n">
        <v>0</v>
      </c>
      <c r="C7" s="20" t="n">
        <v>150</v>
      </c>
      <c r="D7" s="21" t="n">
        <f aca="false">IF($C$2="B",C7,B7)</f>
        <v>0</v>
      </c>
      <c r="E7" s="21" t="n">
        <f aca="false">D7*Taux!$B$3</f>
        <v>0</v>
      </c>
      <c r="F7" s="22" t="n">
        <v>0</v>
      </c>
      <c r="G7" s="21" t="n">
        <f aca="false">F7*Taux!$B$3</f>
        <v>0</v>
      </c>
      <c r="H7" s="15" t="n">
        <f aca="false">D7-F7</f>
        <v>0</v>
      </c>
      <c r="I7" s="2"/>
    </row>
    <row r="8" customFormat="false" ht="15" hidden="false" customHeight="false" outlineLevel="0" collapsed="false">
      <c r="A8" s="6" t="s">
        <v>58</v>
      </c>
      <c r="B8" s="20" t="n">
        <v>120</v>
      </c>
      <c r="C8" s="20" t="n">
        <v>250</v>
      </c>
      <c r="D8" s="21" t="n">
        <f aca="false">IF($C$2="B",C8,B8)</f>
        <v>120</v>
      </c>
      <c r="E8" s="21" t="n">
        <f aca="false">D8*Taux!$B$3</f>
        <v>271680</v>
      </c>
      <c r="F8" s="22" t="n">
        <v>0</v>
      </c>
      <c r="G8" s="21" t="n">
        <f aca="false">F8*Taux!$B$3</f>
        <v>0</v>
      </c>
      <c r="H8" s="15" t="n">
        <f aca="false">D8-F8</f>
        <v>120</v>
      </c>
      <c r="I8" s="2"/>
    </row>
    <row r="9" customFormat="false" ht="15" hidden="false" customHeight="false" outlineLevel="0" collapsed="false">
      <c r="A9" s="6" t="s">
        <v>59</v>
      </c>
      <c r="B9" s="20" t="n">
        <v>30</v>
      </c>
      <c r="C9" s="20" t="n">
        <v>30</v>
      </c>
      <c r="D9" s="21" t="n">
        <f aca="false">IF($C$2="B",C9,B9)</f>
        <v>30</v>
      </c>
      <c r="E9" s="21" t="n">
        <f aca="false">D9*Taux!$B$3</f>
        <v>67920</v>
      </c>
      <c r="F9" s="22" t="n">
        <v>0</v>
      </c>
      <c r="G9" s="21" t="n">
        <f aca="false">F9*Taux!$B$3</f>
        <v>0</v>
      </c>
      <c r="H9" s="15" t="n">
        <f aca="false">D9-F9</f>
        <v>30</v>
      </c>
      <c r="I9" s="2"/>
    </row>
    <row r="10" customFormat="false" ht="15" hidden="false" customHeight="false" outlineLevel="0" collapsed="false">
      <c r="A10" s="6" t="s">
        <v>60</v>
      </c>
      <c r="B10" s="20" t="n">
        <v>40</v>
      </c>
      <c r="C10" s="20" t="n">
        <v>0</v>
      </c>
      <c r="D10" s="21" t="n">
        <f aca="false">IF($C$2="B",C10,B10)</f>
        <v>40</v>
      </c>
      <c r="E10" s="21" t="n">
        <f aca="false">D10*Taux!$B$3</f>
        <v>90560</v>
      </c>
      <c r="F10" s="22" t="n">
        <v>0</v>
      </c>
      <c r="G10" s="21" t="n">
        <f aca="false">F10*Taux!$B$3</f>
        <v>0</v>
      </c>
      <c r="H10" s="15" t="n">
        <f aca="false">D10-F10</f>
        <v>40</v>
      </c>
      <c r="I10" s="2"/>
    </row>
    <row r="11" customFormat="false" ht="15" hidden="false" customHeight="false" outlineLevel="0" collapsed="false">
      <c r="A11" s="6" t="s">
        <v>61</v>
      </c>
      <c r="B11" s="20" t="n">
        <v>0</v>
      </c>
      <c r="C11" s="20" t="n">
        <v>300</v>
      </c>
      <c r="D11" s="21" t="n">
        <f aca="false">IF($C$2="B",C11,B11)</f>
        <v>0</v>
      </c>
      <c r="E11" s="21" t="n">
        <f aca="false">D11*Taux!$B$3</f>
        <v>0</v>
      </c>
      <c r="F11" s="22" t="n">
        <v>0</v>
      </c>
      <c r="G11" s="21" t="n">
        <f aca="false">F11*Taux!$B$3</f>
        <v>0</v>
      </c>
      <c r="H11" s="15" t="n">
        <f aca="false">D11-F11</f>
        <v>0</v>
      </c>
      <c r="I11" s="2"/>
    </row>
    <row r="12" customFormat="false" ht="15" hidden="false" customHeight="false" outlineLevel="0" collapsed="false">
      <c r="A12" s="6" t="s">
        <v>62</v>
      </c>
      <c r="B12" s="20" t="n">
        <v>0</v>
      </c>
      <c r="C12" s="20" t="n">
        <v>200</v>
      </c>
      <c r="D12" s="21" t="n">
        <f aca="false">IF($C$2="B",C12,B12)</f>
        <v>0</v>
      </c>
      <c r="E12" s="21" t="n">
        <f aca="false">D12*Taux!$B$3</f>
        <v>0</v>
      </c>
      <c r="F12" s="22" t="n">
        <v>0</v>
      </c>
      <c r="G12" s="21" t="n">
        <f aca="false">F12*Taux!$B$3</f>
        <v>0</v>
      </c>
      <c r="H12" s="15" t="n">
        <f aca="false">D12-F12</f>
        <v>0</v>
      </c>
      <c r="I12" s="2"/>
    </row>
    <row r="13" customFormat="false" ht="15" hidden="false" customHeight="false" outlineLevel="0" collapsed="false">
      <c r="A13" s="6" t="s">
        <v>63</v>
      </c>
      <c r="B13" s="20" t="n">
        <v>0</v>
      </c>
      <c r="C13" s="20" t="n">
        <v>100</v>
      </c>
      <c r="D13" s="21" t="n">
        <f aca="false">IF($C$2="B",C13,B13)</f>
        <v>0</v>
      </c>
      <c r="E13" s="21" t="n">
        <f aca="false">D13*Taux!$B$3</f>
        <v>0</v>
      </c>
      <c r="F13" s="22" t="n">
        <v>0</v>
      </c>
      <c r="G13" s="21" t="n">
        <f aca="false">F13*Taux!$B$3</f>
        <v>0</v>
      </c>
      <c r="H13" s="15" t="n">
        <f aca="false">D13-F13</f>
        <v>0</v>
      </c>
      <c r="I13" s="2"/>
    </row>
    <row r="14" customFormat="false" ht="15" hidden="false" customHeight="false" outlineLevel="0" collapsed="false">
      <c r="A14" s="6" t="s">
        <v>64</v>
      </c>
      <c r="B14" s="20" t="n">
        <v>0</v>
      </c>
      <c r="C14" s="20" t="n">
        <v>80</v>
      </c>
      <c r="D14" s="21" t="n">
        <f aca="false">IF($C$2="B",C14,B14)</f>
        <v>0</v>
      </c>
      <c r="E14" s="21" t="n">
        <f aca="false">D14*Taux!$B$3</f>
        <v>0</v>
      </c>
      <c r="F14" s="22" t="n">
        <v>0</v>
      </c>
      <c r="G14" s="21" t="n">
        <f aca="false">F14*Taux!$B$3</f>
        <v>0</v>
      </c>
      <c r="H14" s="15" t="n">
        <f aca="false">D14-F14</f>
        <v>0</v>
      </c>
      <c r="I14" s="2"/>
    </row>
    <row r="15" customFormat="false" ht="15" hidden="false" customHeight="false" outlineLevel="0" collapsed="false">
      <c r="A15" s="6" t="s">
        <v>65</v>
      </c>
      <c r="B15" s="20" t="n">
        <v>0</v>
      </c>
      <c r="C15" s="20" t="n">
        <v>150</v>
      </c>
      <c r="D15" s="21" t="n">
        <f aca="false">IF($C$2="B",C15,B15)</f>
        <v>0</v>
      </c>
      <c r="E15" s="21" t="n">
        <f aca="false">D15*Taux!$B$3</f>
        <v>0</v>
      </c>
      <c r="F15" s="22" t="n">
        <v>0</v>
      </c>
      <c r="G15" s="21" t="n">
        <f aca="false">F15*Taux!$B$3</f>
        <v>0</v>
      </c>
      <c r="H15" s="15" t="n">
        <f aca="false">D15-F15</f>
        <v>0</v>
      </c>
      <c r="I15" s="2"/>
    </row>
    <row r="16" customFormat="false" ht="15" hidden="false" customHeight="false" outlineLevel="0" collapsed="false">
      <c r="A16" s="3" t="s">
        <v>66</v>
      </c>
      <c r="B16" s="23" t="n">
        <f aca="false">SUM(B5:B15)</f>
        <v>295</v>
      </c>
      <c r="C16" s="23" t="n">
        <f aca="false">SUM(C5:C15)</f>
        <v>1380</v>
      </c>
      <c r="D16" s="23" t="n">
        <f aca="false">SUM(D5:D15)</f>
        <v>295</v>
      </c>
      <c r="E16" s="23" t="n">
        <f aca="false">SUM(E5:E15)</f>
        <v>667880</v>
      </c>
      <c r="F16" s="23" t="n">
        <f aca="false">SUM(F5:F15)</f>
        <v>0</v>
      </c>
      <c r="G16" s="23" t="n">
        <f aca="false">SUM(G5:G15)</f>
        <v>0</v>
      </c>
      <c r="H16" s="23" t="n">
        <f aca="false">SUM(H5:H15)</f>
        <v>295</v>
      </c>
      <c r="I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16" t="s">
        <v>67</v>
      </c>
      <c r="B18" s="2"/>
      <c r="C18" s="2"/>
      <c r="D18" s="2"/>
      <c r="E18" s="2"/>
      <c r="F18" s="2"/>
      <c r="G18" s="2"/>
      <c r="H18" s="2"/>
      <c r="I18" s="2"/>
    </row>
  </sheetData>
  <dataValidations count="1">
    <dataValidation allowBlank="false" errorStyle="stop" operator="between" showDropDown="false" showErrorMessage="false" showInputMessage="false" sqref="C2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7" min="5" style="0" width="12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52.2" hidden="false" customHeight="false" outlineLevel="0" collapsed="false">
      <c r="A1" s="5" t="s">
        <v>68</v>
      </c>
      <c r="B1" s="5" t="s">
        <v>69</v>
      </c>
      <c r="C1" s="5" t="s">
        <v>70</v>
      </c>
      <c r="D1" s="5" t="s">
        <v>71</v>
      </c>
      <c r="E1" s="5" t="s">
        <v>72</v>
      </c>
      <c r="F1" s="5" t="s">
        <v>73</v>
      </c>
      <c r="G1" s="5" t="s">
        <v>74</v>
      </c>
      <c r="H1" s="5" t="s">
        <v>75</v>
      </c>
      <c r="I1" s="5" t="s">
        <v>21</v>
      </c>
      <c r="J1" s="5" t="s">
        <v>76</v>
      </c>
      <c r="K1" s="5" t="s">
        <v>77</v>
      </c>
      <c r="L1" s="5" t="s">
        <v>78</v>
      </c>
    </row>
    <row r="2" customFormat="false" ht="15" hidden="false" customHeight="false" outlineLevel="0" collapsed="false">
      <c r="A2" s="6" t="s">
        <v>79</v>
      </c>
      <c r="B2" s="24" t="str">
        <f aca="false">IF('Tableau de bord'!$B$3="","",'Tableau de bord'!$B$3+0)</f>
        <v/>
      </c>
      <c r="C2" s="25"/>
      <c r="D2" s="25"/>
      <c r="E2" s="25"/>
      <c r="F2" s="25"/>
      <c r="G2" s="25"/>
      <c r="H2" s="25"/>
      <c r="I2" s="25"/>
      <c r="J2" s="25"/>
      <c r="K2" s="26"/>
      <c r="L2" s="25"/>
    </row>
    <row r="3" customFormat="false" ht="15" hidden="false" customHeight="false" outlineLevel="0" collapsed="false">
      <c r="A3" s="6" t="s">
        <v>80</v>
      </c>
      <c r="B3" s="24" t="str">
        <f aca="false">IF('Tableau de bord'!$B$3="","",'Tableau de bord'!$B$3+7)</f>
        <v/>
      </c>
      <c r="C3" s="25"/>
      <c r="D3" s="25"/>
      <c r="E3" s="25"/>
      <c r="F3" s="25"/>
      <c r="G3" s="25"/>
      <c r="H3" s="25"/>
      <c r="I3" s="25"/>
      <c r="J3" s="25"/>
      <c r="K3" s="26"/>
      <c r="L3" s="25"/>
    </row>
    <row r="4" customFormat="false" ht="15" hidden="false" customHeight="false" outlineLevel="0" collapsed="false">
      <c r="A4" s="6" t="s">
        <v>81</v>
      </c>
      <c r="B4" s="24" t="str">
        <f aca="false">IF('Tableau de bord'!$B$3="","",'Tableau de bord'!$B$3+14)</f>
        <v/>
      </c>
      <c r="C4" s="25"/>
      <c r="D4" s="25"/>
      <c r="E4" s="25"/>
      <c r="F4" s="25"/>
      <c r="G4" s="25"/>
      <c r="H4" s="25"/>
      <c r="I4" s="25"/>
      <c r="J4" s="25"/>
      <c r="K4" s="26"/>
      <c r="L4" s="25"/>
    </row>
    <row r="5" customFormat="false" ht="15" hidden="false" customHeight="false" outlineLevel="0" collapsed="false">
      <c r="A5" s="6" t="s">
        <v>82</v>
      </c>
      <c r="B5" s="24" t="str">
        <f aca="false">IF('Tableau de bord'!$B$3="","",'Tableau de bord'!$B$3+21)</f>
        <v/>
      </c>
      <c r="C5" s="25"/>
      <c r="D5" s="25"/>
      <c r="E5" s="25"/>
      <c r="F5" s="25"/>
      <c r="G5" s="25"/>
      <c r="H5" s="25"/>
      <c r="I5" s="25"/>
      <c r="J5" s="25"/>
      <c r="K5" s="26"/>
      <c r="L5" s="25"/>
    </row>
    <row r="6" customFormat="false" ht="15" hidden="false" customHeight="false" outlineLevel="0" collapsed="false">
      <c r="A6" s="6" t="s">
        <v>83</v>
      </c>
      <c r="B6" s="24" t="str">
        <f aca="false">IF('Tableau de bord'!$B$3="","",'Tableau de bord'!$B$3+28)</f>
        <v/>
      </c>
      <c r="C6" s="25"/>
      <c r="D6" s="25"/>
      <c r="E6" s="25"/>
      <c r="F6" s="25"/>
      <c r="G6" s="25"/>
      <c r="H6" s="25"/>
      <c r="I6" s="25"/>
      <c r="J6" s="25"/>
      <c r="K6" s="26"/>
      <c r="L6" s="25"/>
    </row>
    <row r="7" customFormat="false" ht="15" hidden="false" customHeight="false" outlineLevel="0" collapsed="false">
      <c r="A7" s="6" t="s">
        <v>84</v>
      </c>
      <c r="B7" s="24" t="str">
        <f aca="false">IF('Tableau de bord'!$B$3="","",'Tableau de bord'!$B$3+35)</f>
        <v/>
      </c>
      <c r="C7" s="25"/>
      <c r="D7" s="25"/>
      <c r="E7" s="25"/>
      <c r="F7" s="25"/>
      <c r="G7" s="25"/>
      <c r="H7" s="25"/>
      <c r="I7" s="25"/>
      <c r="J7" s="25"/>
      <c r="K7" s="26"/>
      <c r="L7" s="25"/>
    </row>
    <row r="8" customFormat="false" ht="15" hidden="false" customHeight="false" outlineLevel="0" collapsed="false">
      <c r="A8" s="6" t="s">
        <v>85</v>
      </c>
      <c r="B8" s="24" t="str">
        <f aca="false">IF('Tableau de bord'!$B$3="","",'Tableau de bord'!$B$3+42)</f>
        <v/>
      </c>
      <c r="C8" s="25"/>
      <c r="D8" s="25"/>
      <c r="E8" s="25"/>
      <c r="F8" s="25"/>
      <c r="G8" s="25"/>
      <c r="H8" s="25"/>
      <c r="I8" s="25"/>
      <c r="J8" s="25"/>
      <c r="K8" s="26"/>
      <c r="L8" s="25"/>
    </row>
    <row r="9" customFormat="false" ht="15" hidden="false" customHeight="false" outlineLevel="0" collapsed="false">
      <c r="A9" s="6" t="s">
        <v>86</v>
      </c>
      <c r="B9" s="24" t="str">
        <f aca="false">IF('Tableau de bord'!$B$3="","",'Tableau de bord'!$B$3+49)</f>
        <v/>
      </c>
      <c r="C9" s="25"/>
      <c r="D9" s="25"/>
      <c r="E9" s="25"/>
      <c r="F9" s="25"/>
      <c r="G9" s="25"/>
      <c r="H9" s="25"/>
      <c r="I9" s="25"/>
      <c r="J9" s="25"/>
      <c r="K9" s="26"/>
      <c r="L9" s="25"/>
    </row>
    <row r="10" customFormat="false" ht="15" hidden="false" customHeight="false" outlineLevel="0" collapsed="false">
      <c r="A10" s="6" t="s">
        <v>87</v>
      </c>
      <c r="B10" s="24" t="str">
        <f aca="false">IF('Tableau de bord'!$B$3="","",'Tableau de bord'!$B$3+56)</f>
        <v/>
      </c>
      <c r="C10" s="25"/>
      <c r="D10" s="25"/>
      <c r="E10" s="25"/>
      <c r="F10" s="25"/>
      <c r="G10" s="25"/>
      <c r="H10" s="25"/>
      <c r="I10" s="25"/>
      <c r="J10" s="25"/>
      <c r="K10" s="26"/>
      <c r="L10" s="25"/>
    </row>
    <row r="11" customFormat="false" ht="15" hidden="false" customHeight="false" outlineLevel="0" collapsed="false">
      <c r="A11" s="6" t="s">
        <v>88</v>
      </c>
      <c r="B11" s="24" t="str">
        <f aca="false">IF('Tableau de bord'!$B$3="","",'Tableau de bord'!$B$3+63)</f>
        <v/>
      </c>
      <c r="C11" s="25"/>
      <c r="D11" s="25"/>
      <c r="E11" s="25"/>
      <c r="F11" s="25"/>
      <c r="G11" s="25"/>
      <c r="H11" s="25"/>
      <c r="I11" s="25"/>
      <c r="J11" s="25"/>
      <c r="K11" s="26"/>
      <c r="L11" s="25"/>
    </row>
    <row r="12" customFormat="false" ht="15" hidden="false" customHeight="false" outlineLevel="0" collapsed="false">
      <c r="A12" s="6" t="s">
        <v>89</v>
      </c>
      <c r="B12" s="24" t="str">
        <f aca="false">IF('Tableau de bord'!$B$3="","",'Tableau de bord'!$B$3+70)</f>
        <v/>
      </c>
      <c r="C12" s="25"/>
      <c r="D12" s="25"/>
      <c r="E12" s="25"/>
      <c r="F12" s="25"/>
      <c r="G12" s="25"/>
      <c r="H12" s="25"/>
      <c r="I12" s="25"/>
      <c r="J12" s="25"/>
      <c r="K12" s="26"/>
      <c r="L12" s="25"/>
    </row>
    <row r="13" customFormat="false" ht="15" hidden="false" customHeight="false" outlineLevel="0" collapsed="false">
      <c r="A13" s="6" t="s">
        <v>90</v>
      </c>
      <c r="B13" s="24" t="str">
        <f aca="false">IF('Tableau de bord'!$B$3="","",'Tableau de bord'!$B$3+77)</f>
        <v/>
      </c>
      <c r="C13" s="25"/>
      <c r="D13" s="25"/>
      <c r="E13" s="25"/>
      <c r="F13" s="25"/>
      <c r="G13" s="25"/>
      <c r="H13" s="25"/>
      <c r="I13" s="25"/>
      <c r="J13" s="25"/>
      <c r="K13" s="26"/>
      <c r="L13" s="25"/>
    </row>
    <row r="14" customFormat="false" ht="15" hidden="false" customHeight="false" outlineLevel="0" collapsed="false">
      <c r="A14" s="6" t="s">
        <v>91</v>
      </c>
      <c r="B14" s="24" t="str">
        <f aca="false">IF('Tableau de bord'!$B$3="","",'Tableau de bord'!$B$3+84)</f>
        <v/>
      </c>
      <c r="C14" s="25"/>
      <c r="D14" s="25"/>
      <c r="E14" s="25"/>
      <c r="F14" s="25"/>
      <c r="G14" s="25"/>
      <c r="H14" s="25"/>
      <c r="I14" s="25"/>
      <c r="J14" s="25"/>
      <c r="K14" s="26"/>
      <c r="L14" s="25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16" t="s">
        <v>92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2" min="11" style="0" width="13"/>
    <col collapsed="false" customWidth="true" hidden="false" outlineLevel="0" max="13" min="13" style="0" width="7"/>
    <col collapsed="false" customWidth="true" hidden="false" outlineLevel="0" max="14" min="14" style="0" width="15"/>
    <col collapsed="false" customWidth="true" hidden="false" outlineLevel="0" max="16" min="15" style="0" width="16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19" min="19" style="0" width="30"/>
  </cols>
  <sheetData>
    <row r="1" customFormat="false" ht="52.2" hidden="false" customHeight="false" outlineLevel="0" collapsed="false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101</v>
      </c>
      <c r="J1" s="5" t="s">
        <v>102</v>
      </c>
      <c r="K1" s="5" t="s">
        <v>103</v>
      </c>
      <c r="L1" s="5" t="s">
        <v>104</v>
      </c>
      <c r="M1" s="5" t="s">
        <v>105</v>
      </c>
      <c r="N1" s="5" t="s">
        <v>106</v>
      </c>
      <c r="O1" s="5" t="s">
        <v>107</v>
      </c>
      <c r="P1" s="5" t="s">
        <v>108</v>
      </c>
      <c r="Q1" s="5" t="s">
        <v>109</v>
      </c>
      <c r="R1" s="5" t="s">
        <v>110</v>
      </c>
      <c r="S1" s="5" t="s">
        <v>111</v>
      </c>
    </row>
    <row r="2" customFormat="false" ht="15" hidden="false" customHeight="false" outlineLevel="0" collapsed="false">
      <c r="A2" s="27" t="s">
        <v>112</v>
      </c>
      <c r="B2" s="27" t="s">
        <v>113</v>
      </c>
      <c r="C2" s="27" t="s">
        <v>114</v>
      </c>
      <c r="D2" s="27" t="s">
        <v>115</v>
      </c>
      <c r="E2" s="27" t="s">
        <v>116</v>
      </c>
      <c r="F2" s="27" t="s">
        <v>117</v>
      </c>
      <c r="G2" s="27" t="s">
        <v>118</v>
      </c>
      <c r="H2" s="27"/>
      <c r="I2" s="27"/>
      <c r="J2" s="27" t="s">
        <v>119</v>
      </c>
      <c r="K2" s="27" t="s">
        <v>113</v>
      </c>
      <c r="L2" s="27" t="s">
        <v>120</v>
      </c>
      <c r="M2" s="27" t="n">
        <v>15</v>
      </c>
      <c r="N2" s="27" t="s">
        <v>121</v>
      </c>
      <c r="O2" s="27" t="s">
        <v>122</v>
      </c>
      <c r="P2" s="27" t="s">
        <v>123</v>
      </c>
      <c r="Q2" s="27" t="s">
        <v>124</v>
      </c>
      <c r="R2" s="27"/>
      <c r="S2" s="27" t="s">
        <v>125</v>
      </c>
    </row>
  </sheetData>
  <dataValidations count="1">
    <dataValidation allowBlank="true" errorStyle="stop" operator="between" showDropDown="false" showErrorMessage="false" showInputMessage="false" sqref="N2:N1002" type="list">
      <formula1>"identifié,contacté,démo fixée,démo faite,pilote proposé,pilote en cours,proposition,client,perdu,plus tard"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9" min="7" style="0" width="8"/>
    <col collapsed="false" customWidth="true" hidden="false" outlineLevel="0" max="10" min="10" style="0" width="12"/>
    <col collapsed="false" customWidth="true" hidden="false" outlineLevel="0" max="13" min="11" style="0" width="14"/>
    <col collapsed="false" customWidth="true" hidden="false" outlineLevel="0" max="14" min="14" style="0" width="28"/>
  </cols>
  <sheetData>
    <row r="1" customFormat="false" ht="64.9" hidden="false" customHeight="false" outlineLevel="0" collapsed="false">
      <c r="A1" s="5" t="s">
        <v>93</v>
      </c>
      <c r="B1" s="5" t="s">
        <v>126</v>
      </c>
      <c r="C1" s="5" t="s">
        <v>127</v>
      </c>
      <c r="D1" s="5" t="s">
        <v>97</v>
      </c>
      <c r="E1" s="5" t="s">
        <v>128</v>
      </c>
      <c r="F1" s="5" t="s">
        <v>129</v>
      </c>
      <c r="G1" s="5" t="s">
        <v>130</v>
      </c>
      <c r="H1" s="5" t="s">
        <v>131</v>
      </c>
      <c r="I1" s="5" t="s">
        <v>132</v>
      </c>
      <c r="J1" s="5" t="s">
        <v>133</v>
      </c>
      <c r="K1" s="5" t="s">
        <v>134</v>
      </c>
      <c r="L1" s="5" t="s">
        <v>135</v>
      </c>
      <c r="M1" s="5" t="s">
        <v>136</v>
      </c>
      <c r="N1" s="5" t="s">
        <v>111</v>
      </c>
    </row>
    <row r="2" customFormat="false" ht="15" hidden="false" customHeight="false" outlineLevel="0" collapsed="false">
      <c r="A2" s="27" t="s">
        <v>137</v>
      </c>
      <c r="B2" s="27" t="s">
        <v>138</v>
      </c>
      <c r="C2" s="27" t="s">
        <v>139</v>
      </c>
      <c r="D2" s="27" t="s">
        <v>140</v>
      </c>
      <c r="E2" s="27" t="s">
        <v>141</v>
      </c>
      <c r="F2" s="27" t="n">
        <v>4</v>
      </c>
      <c r="G2" s="27" t="n">
        <v>2</v>
      </c>
      <c r="H2" s="27" t="n">
        <v>1</v>
      </c>
      <c r="I2" s="27" t="n">
        <v>0</v>
      </c>
      <c r="J2" s="27" t="n">
        <v>0</v>
      </c>
      <c r="K2" s="27" t="n">
        <v>0</v>
      </c>
      <c r="L2" s="27" t="n">
        <v>0</v>
      </c>
      <c r="M2" s="27" t="s">
        <v>142</v>
      </c>
      <c r="N2" s="27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2026-10-27T06:46:17Z</dcterms:created>
  <dc:creator>openpyxl</dc:creator>
  <dc:description/>
  <dc:language>en-US</dc:language>
  <cp:lastModifiedBy/>
  <dcterms:modified xsi:type="dcterms:W3CDTF">2026-10-27T06:46:17Z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